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Warehouse-7\docs\"/>
    </mc:Choice>
  </mc:AlternateContent>
  <xr:revisionPtr revIDLastSave="0" documentId="13_ncr:1_{81BDB21E-AF41-440B-926E-96F7467AB174}" xr6:coauthVersionLast="47" xr6:coauthVersionMax="47" xr10:uidLastSave="{00000000-0000-0000-0000-000000000000}"/>
  <bookViews>
    <workbookView xWindow="-10605" yWindow="-16320" windowWidth="29040" windowHeight="15720" xr2:uid="{E565F22D-58E8-40F1-A69B-9A398A2EE1F4}"/>
  </bookViews>
  <sheets>
    <sheet name="Enemies" sheetId="2" r:id="rId1"/>
    <sheet name="Weap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1" l="1"/>
  <c r="N5" i="1"/>
  <c r="N4" i="1"/>
  <c r="D6" i="1"/>
  <c r="D5" i="1"/>
  <c r="D4" i="1"/>
</calcChain>
</file>

<file path=xl/sharedStrings.xml><?xml version="1.0" encoding="utf-8"?>
<sst xmlns="http://schemas.openxmlformats.org/spreadsheetml/2006/main" count="45" uniqueCount="43">
  <si>
    <t>Weapon</t>
  </si>
  <si>
    <t>Maximum number of bullets</t>
  </si>
  <si>
    <t>Maximum number of total bullets that can be carried by the player</t>
  </si>
  <si>
    <t>Damage to Health</t>
  </si>
  <si>
    <t>Damage to Armour</t>
  </si>
  <si>
    <t>Damage to Environment</t>
  </si>
  <si>
    <t>Area of effect</t>
  </si>
  <si>
    <t>Fire mode</t>
  </si>
  <si>
    <t>Rate of fire</t>
  </si>
  <si>
    <t>Recoil</t>
  </si>
  <si>
    <t>Weapon bloom</t>
  </si>
  <si>
    <t>Sig P320</t>
  </si>
  <si>
    <t>Reload time (seconds)</t>
  </si>
  <si>
    <t>Semi</t>
  </si>
  <si>
    <t>M4A1</t>
  </si>
  <si>
    <t>Automatic</t>
  </si>
  <si>
    <t>Calibre</t>
  </si>
  <si>
    <t>9mm</t>
  </si>
  <si>
    <t>5.56mm</t>
  </si>
  <si>
    <t>7.62x39mm</t>
  </si>
  <si>
    <t>Muzzle velocity (m/s)</t>
  </si>
  <si>
    <t>RPG-7</t>
  </si>
  <si>
    <t>n/a</t>
  </si>
  <si>
    <t>40mm</t>
  </si>
  <si>
    <t xml:space="preserve">Enemy </t>
  </si>
  <si>
    <t>Insurgent</t>
  </si>
  <si>
    <t>Health</t>
  </si>
  <si>
    <t>Movement speed (m/s)</t>
  </si>
  <si>
    <t>sight range (m)</t>
  </si>
  <si>
    <t>hearing range (m)</t>
  </si>
  <si>
    <t>Reaction time (s)</t>
  </si>
  <si>
    <t>Aim error (degrees)</t>
  </si>
  <si>
    <t>Extra aim error per 10m (degrees)</t>
  </si>
  <si>
    <t>Burst min (shots)/ Burst max (shots)</t>
  </si>
  <si>
    <t>pause between bursts min (s) / max (s)</t>
  </si>
  <si>
    <t>Preferred fighting distance (m)</t>
  </si>
  <si>
    <t>Ammo drop min / Ammo drop max</t>
  </si>
  <si>
    <t>Possible Weapons Equipped</t>
  </si>
  <si>
    <t>0.6 / 1.6</t>
  </si>
  <si>
    <t>10 / 30</t>
  </si>
  <si>
    <t>AK-47, RPG-7</t>
  </si>
  <si>
    <t>AK-47</t>
  </si>
  <si>
    <t>2 /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</si>
</sst>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761A-92EB-44E0-82A9-72828B2468B4}">
  <dimension ref="B3:O4"/>
  <sheetViews>
    <sheetView showGridLines="0" tabSelected="1" workbookViewId="0"/>
  </sheetViews>
  <sheetFormatPr defaultRowHeight="14.25" x14ac:dyDescent="0.45"/>
  <cols>
    <col min="1" max="1" width="2.59765625" customWidth="1"/>
    <col min="3" max="14" width="15.59765625" customWidth="1"/>
  </cols>
  <sheetData>
    <row r="3" spans="2:15" ht="71.25" x14ac:dyDescent="0.45">
      <c r="B3" s="1" t="s">
        <v>24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/>
    </row>
    <row r="4" spans="2:15" x14ac:dyDescent="0.45">
      <c r="B4" s="5" t="s">
        <v>25</v>
      </c>
      <c r="C4" s="3">
        <v>100</v>
      </c>
      <c r="D4" s="3">
        <v>3.2</v>
      </c>
      <c r="E4" s="3">
        <v>45</v>
      </c>
      <c r="F4" s="3">
        <v>30</v>
      </c>
      <c r="G4" s="3">
        <v>0.9</v>
      </c>
      <c r="H4" s="3">
        <v>2</v>
      </c>
      <c r="I4" s="3">
        <v>1.2</v>
      </c>
      <c r="J4" s="4" t="s">
        <v>42</v>
      </c>
      <c r="K4" s="3" t="s">
        <v>38</v>
      </c>
      <c r="L4" s="3">
        <v>18</v>
      </c>
      <c r="M4" s="4" t="s">
        <v>39</v>
      </c>
      <c r="N4" s="3" t="s">
        <v>40</v>
      </c>
      <c r="O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33A9-8029-4CAF-A97A-E25755C0BEEB}">
  <dimension ref="B3:O7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4.25" x14ac:dyDescent="0.45"/>
  <cols>
    <col min="1" max="1" width="2.59765625" customWidth="1"/>
    <col min="2" max="15" width="15.59765625" customWidth="1"/>
  </cols>
  <sheetData>
    <row r="3" spans="2:15" ht="57" x14ac:dyDescent="0.45">
      <c r="B3" s="1" t="s">
        <v>0</v>
      </c>
      <c r="C3" s="1" t="s">
        <v>1</v>
      </c>
      <c r="D3" s="1" t="s">
        <v>2</v>
      </c>
      <c r="E3" s="1" t="s">
        <v>12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20</v>
      </c>
      <c r="O3" s="1" t="s">
        <v>16</v>
      </c>
    </row>
    <row r="4" spans="2:15" x14ac:dyDescent="0.45">
      <c r="B4" s="2" t="s">
        <v>11</v>
      </c>
      <c r="C4" s="3">
        <v>17</v>
      </c>
      <c r="D4" s="3">
        <f>+C4*6</f>
        <v>102</v>
      </c>
      <c r="E4" s="3">
        <v>2</v>
      </c>
      <c r="F4" s="3">
        <v>20</v>
      </c>
      <c r="G4" s="3">
        <v>20</v>
      </c>
      <c r="H4" s="3">
        <v>0</v>
      </c>
      <c r="I4" s="3">
        <v>0</v>
      </c>
      <c r="J4" s="3" t="s">
        <v>13</v>
      </c>
      <c r="K4" s="3">
        <v>180</v>
      </c>
      <c r="L4" s="3">
        <v>5</v>
      </c>
      <c r="M4" s="3">
        <v>15</v>
      </c>
      <c r="N4" s="3">
        <f>374/2</f>
        <v>187</v>
      </c>
      <c r="O4" s="3" t="s">
        <v>17</v>
      </c>
    </row>
    <row r="5" spans="2:15" x14ac:dyDescent="0.45">
      <c r="B5" s="2" t="s">
        <v>14</v>
      </c>
      <c r="C5" s="3">
        <v>30</v>
      </c>
      <c r="D5" s="3">
        <f>+C5*10</f>
        <v>300</v>
      </c>
      <c r="E5" s="3">
        <v>3</v>
      </c>
      <c r="F5" s="3">
        <v>35</v>
      </c>
      <c r="G5" s="3">
        <v>35</v>
      </c>
      <c r="H5" s="3">
        <v>0</v>
      </c>
      <c r="I5" s="3">
        <v>0</v>
      </c>
      <c r="J5" s="3" t="s">
        <v>15</v>
      </c>
      <c r="K5" s="3">
        <v>700</v>
      </c>
      <c r="L5" s="3">
        <v>25</v>
      </c>
      <c r="M5" s="3">
        <v>20</v>
      </c>
      <c r="N5" s="3">
        <f>910/2</f>
        <v>455</v>
      </c>
      <c r="O5" s="3" t="s">
        <v>18</v>
      </c>
    </row>
    <row r="6" spans="2:15" x14ac:dyDescent="0.45">
      <c r="B6" s="2" t="s">
        <v>41</v>
      </c>
      <c r="C6" s="3">
        <v>30</v>
      </c>
      <c r="D6" s="3">
        <f>+C6*10</f>
        <v>300</v>
      </c>
      <c r="E6" s="3">
        <v>4</v>
      </c>
      <c r="F6" s="3">
        <v>40</v>
      </c>
      <c r="G6" s="3">
        <v>50</v>
      </c>
      <c r="H6" s="3">
        <v>10</v>
      </c>
      <c r="I6" s="3">
        <v>0</v>
      </c>
      <c r="J6" s="3" t="s">
        <v>15</v>
      </c>
      <c r="K6" s="3">
        <v>600</v>
      </c>
      <c r="L6" s="3">
        <v>30</v>
      </c>
      <c r="M6" s="3">
        <v>25</v>
      </c>
      <c r="N6" s="3">
        <f>712/2</f>
        <v>356</v>
      </c>
      <c r="O6" s="3" t="s">
        <v>19</v>
      </c>
    </row>
    <row r="7" spans="2:15" x14ac:dyDescent="0.45">
      <c r="B7" s="2" t="s">
        <v>21</v>
      </c>
      <c r="C7" s="3">
        <v>1</v>
      </c>
      <c r="D7" s="3">
        <v>4</v>
      </c>
      <c r="E7" s="3">
        <v>5</v>
      </c>
      <c r="F7" s="3">
        <v>80</v>
      </c>
      <c r="G7" s="3">
        <v>100</v>
      </c>
      <c r="H7" s="3">
        <v>100</v>
      </c>
      <c r="I7" s="3">
        <v>30</v>
      </c>
      <c r="J7" s="3" t="s">
        <v>13</v>
      </c>
      <c r="K7" s="3" t="s">
        <v>22</v>
      </c>
      <c r="L7" s="3">
        <v>30</v>
      </c>
      <c r="M7" s="3">
        <v>0</v>
      </c>
      <c r="N7" s="3">
        <v>115</v>
      </c>
      <c r="O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Enemies</vt:lpstr>
      <vt:lpstr>Weapons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Portiche</dc:creator>
  <cp:lastModifiedBy>Martial Portiche</cp:lastModifiedBy>
  <dcterms:created xsi:type="dcterms:W3CDTF">2026-10-22T12:05:36Z</dcterms:created>
  <dcterms:modified xsi:type="dcterms:W3CDTF">2026-10-22T14:13:11Z</dcterms:modified>
</cp:coreProperties>
</file>