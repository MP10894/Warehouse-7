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ocs\"/>
    </mc:Choice>
  </mc:AlternateContent>
  <xr:revisionPtr revIDLastSave="0" documentId="13_ncr:1_{F87A5261-A26A-475F-8A41-C7E2602C900F}" xr6:coauthVersionLast="47" xr6:coauthVersionMax="47" xr10:uidLastSave="{00000000-0000-0000-0000-000000000000}"/>
  <bookViews>
    <workbookView xWindow="-98" yWindow="-98" windowWidth="19396" windowHeight="11475" xr2:uid="{E565F22D-58E8-40F1-A69B-9A398A2EE1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6" i="1" l="1"/>
  <c r="N5" i="1"/>
  <c r="N4" i="1"/>
  <c r="D6" i="1"/>
  <c r="D5" i="1"/>
  <c r="D4" i="1"/>
</calcChain>
</file>

<file path=xl/sharedStrings.xml><?xml version="1.0" encoding="utf-8"?>
<sst xmlns="http://schemas.openxmlformats.org/spreadsheetml/2006/main" count="23" uniqueCount="22">
  <si>
    <t>Weapon</t>
  </si>
  <si>
    <t>Maximum number of bullets</t>
  </si>
  <si>
    <t>Maximum number of total bullets that can be carried by the player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</si>
  <si>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</si>
  <si>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</si>
  <si>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</si>
  <si>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</si>
  <si>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</si>
  <si>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</si>
  <si>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</si>
  <si>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</si>
  <si>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Sig P320</t>
  </si>
  <si>
    <t>Reload time (seconds)</t>
  </si>
  <si>
    <t>Semi</t>
  </si>
  <si>
    <t>M4A1</t>
  </si>
  <si>
    <t>Automatic</t>
  </si>
  <si>
    <t>Ak47</t>
  </si>
  <si>
    <t>Calibre</t>
  </si>
  <si>
    <t>9mm</t>
  </si>
  <si>
    <t>5.56mm</t>
  </si>
  <si>
    <t>7.62x39mm</t>
  </si>
  <si>
    <t>Muzzle velocity (m/s)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</si>
</sst>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433A9-8029-4CAF-A97A-E25755C0BEEB}">
  <dimension ref="B3:O6"/>
  <sheetViews>
    <sheetView showGridLines="0" tabSelected="1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N7" sqref="N7"/>
    </sheetView>
  </sheetViews>
  <sheetFormatPr defaultRowHeight="14.25" x14ac:dyDescent="0.45"/>
  <cols>
    <col min="1" max="1" width="2.59765625" customWidth="1"/>
    <col min="2" max="15" width="15.59765625" customWidth="1"/>
  </cols>
  <sheetData>
    <row r="3" spans="2:15" ht="57" x14ac:dyDescent="0.45">
      <c r="B3" s="1" t="s">
        <v>0</v>
      </c>
      <c r="C3" s="1" t="s">
        <v>1</v>
      </c>
      <c r="D3" s="1" t="s">
        <v>2</v>
      </c>
      <c r="E3" s="1" t="s">
        <v>12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21</v>
      </c>
      <c r="O3" s="1" t="s">
        <v>17</v>
      </c>
    </row>
    <row r="4" spans="2:15" x14ac:dyDescent="0.45">
      <c r="B4" s="2" t="s">
        <v>11</v>
      </c>
      <c r="C4" s="3">
        <v>17</v>
      </c>
      <c r="D4" s="3">
        <f>+C4*6</f>
        <v>102</v>
      </c>
      <c r="E4" s="3">
        <v>2</v>
      </c>
      <c r="F4" s="3">
        <v>20</v>
      </c>
      <c r="G4" s="3">
        <v>20</v>
      </c>
      <c r="H4" s="3">
        <v>0</v>
      </c>
      <c r="I4" s="3">
        <v>0</v>
      </c>
      <c r="J4" s="3" t="s">
        <v>13</v>
      </c>
      <c r="K4" s="3">
        <v>180</v>
      </c>
      <c r="L4" s="3">
        <v>15</v>
      </c>
      <c r="M4" s="3">
        <v>15</v>
      </c>
      <c r="N4" s="3">
        <f>374/2</f>
        <v>187</v>
      </c>
      <c r="O4" s="3" t="s">
        <v>18</v>
      </c>
    </row>
    <row r="5" spans="2:15" x14ac:dyDescent="0.45">
      <c r="B5" s="2" t="s">
        <v>14</v>
      </c>
      <c r="C5" s="3">
        <v>30</v>
      </c>
      <c r="D5" s="3">
        <f>+C5*10</f>
        <v>300</v>
      </c>
      <c r="E5" s="3">
        <v>3</v>
      </c>
      <c r="F5" s="3">
        <v>35</v>
      </c>
      <c r="G5" s="3">
        <v>35</v>
      </c>
      <c r="H5" s="3">
        <v>0</v>
      </c>
      <c r="I5" s="3">
        <v>0</v>
      </c>
      <c r="J5" s="3" t="s">
        <v>15</v>
      </c>
      <c r="K5" s="3">
        <v>700</v>
      </c>
      <c r="L5" s="3">
        <v>25</v>
      </c>
      <c r="M5" s="3">
        <v>20</v>
      </c>
      <c r="N5" s="3">
        <f>910/2</f>
        <v>455</v>
      </c>
      <c r="O5" s="3" t="s">
        <v>19</v>
      </c>
    </row>
    <row r="6" spans="2:15" x14ac:dyDescent="0.45">
      <c r="B6" s="2" t="s">
        <v>16</v>
      </c>
      <c r="C6" s="3">
        <v>30</v>
      </c>
      <c r="D6" s="3">
        <f>+C6*10</f>
        <v>300</v>
      </c>
      <c r="E6" s="3">
        <v>4</v>
      </c>
      <c r="F6" s="3">
        <v>40</v>
      </c>
      <c r="G6" s="3">
        <v>50</v>
      </c>
      <c r="H6" s="3">
        <v>10</v>
      </c>
      <c r="I6" s="3">
        <v>0</v>
      </c>
      <c r="J6" s="3" t="s">
        <v>15</v>
      </c>
      <c r="K6" s="3">
        <v>600</v>
      </c>
      <c r="L6" s="3">
        <v>30</v>
      </c>
      <c r="M6" s="3">
        <v>25</v>
      </c>
      <c r="N6" s="3">
        <f>712/2</f>
        <v>356</v>
      </c>
      <c r="O6" s="3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2026-10-22T12:42:16Z</dcterms:modified>
</cp:coreProperties>
</file>