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" sqref="A1"/>
    </sheetView>
  </sheetViews>
  <sheetFormatPr baseColWidth="8" defaultRowHeight="14.25"/>
  <cols>
    <col width="2.59765625" customWidth="1" min="1" max="1"/>
    <col width="15.59765625" customWidth="1" min="2" max="15"/>
    <col width="13" customWidth="1" min="15" max="15"/>
    <col width="13" customWidth="1" min="16" max="16"/>
    <col width="13" customWidth="1" min="17" max="17"/>
  </cols>
  <sheetData>
    <row r="1"/>
    <row r="2"/>
    <row r="3" ht="57" customHeight="1">
      <c r="B3" s="1" t="inlineStr">
        <is>
          <t>Weapon</t>
        </is>
      </c>
      <c r="C3" s="1" t="inlineStr">
        <is>
          <t>Maximum number of bullets</t>
        </is>
      </c>
      <c r="D3" s="1" t="inlineStr">
        <is>
          <t>Maximum number of total bullets that can be carried by the player</t>
        </is>
      </c>
      <c r="E3" s="1" t="inlineStr">
        <is>
          <t>Reload time (seconds)</t>
        </is>
      </c>
      <c r="F3" s="1" t="inlineStr">
        <is>
          <t>Damage to Health</t>
        </is>
      </c>
      <c r="G3" s="1" t="inlineStr">
        <is>
          <t>Damage to Armour</t>
        </is>
      </c>
      <c r="H3" s="1" t="inlineStr">
        <is>
          <t>Damage to Environment</t>
        </is>
      </c>
      <c r="I3" s="1" t="inlineStr">
        <is>
          <t>Area of effect</t>
        </is>
      </c>
      <c r="J3" s="1" t="inlineStr">
        <is>
          <t>Fire mode</t>
        </is>
      </c>
      <c r="K3" s="1" t="inlineStr">
        <is>
          <t>Rate of fire</t>
        </is>
      </c>
      <c r="L3" s="1" t="inlineStr">
        <is>
          <t>Recoil</t>
        </is>
      </c>
      <c r="M3" s="1" t="inlineStr">
        <is>
          <t>Weapon bloom</t>
        </is>
      </c>
      <c r="N3" s="1" t="inlineStr">
        <is>
          <t>Muzzle velocity (m/s)</t>
        </is>
      </c>
      <c r="O3" s="1" t="inlineStr">
        <is>
          <t>Calibre</t>
        </is>
      </c>
      <c r="P3" s="1" t="inlineStr">
        <is>
          <t>Projectile (bullet / rocket)</t>
        </is>
      </c>
      <c r="Q3" s="1" t="inlineStr">
        <is>
          <t>Aim-down-sights zoom (1 = none, 0.6 = strong)</t>
        </is>
      </c>
    </row>
    <row r="4">
      <c r="B4" s="2" t="inlineStr">
        <is>
          <t>Sig P320</t>
        </is>
      </c>
      <c r="C4" s="3" t="n">
        <v>17</v>
      </c>
      <c r="D4" s="3">
        <f>+C4*6</f>
        <v/>
      </c>
      <c r="E4" s="3" t="n">
        <v>2</v>
      </c>
      <c r="F4" s="3" t="n">
        <v>20</v>
      </c>
      <c r="G4" s="3" t="n">
        <v>20</v>
      </c>
      <c r="H4" s="3" t="n">
        <v>0</v>
      </c>
      <c r="I4" s="3" t="n">
        <v>0</v>
      </c>
      <c r="J4" s="3" t="inlineStr">
        <is>
          <t>Semi</t>
        </is>
      </c>
      <c r="K4" s="3" t="n">
        <v>180</v>
      </c>
      <c r="L4" s="3" t="n">
        <v>5</v>
      </c>
      <c r="M4" s="3" t="n">
        <v>15</v>
      </c>
      <c r="N4" s="3">
        <f>374/2</f>
        <v/>
      </c>
      <c r="O4" s="3" t="inlineStr">
        <is>
          <t>9mm</t>
        </is>
      </c>
      <c r="P4" s="3" t="inlineStr">
        <is>
          <t>bullet</t>
        </is>
      </c>
      <c r="Q4" s="3" t="n">
        <v>0.85</v>
      </c>
    </row>
    <row r="5">
      <c r="B5" s="2" t="inlineStr">
        <is>
          <t>M4A1</t>
        </is>
      </c>
      <c r="C5" s="3" t="n">
        <v>30</v>
      </c>
      <c r="D5" s="3">
        <f>+C5*10</f>
        <v/>
      </c>
      <c r="E5" s="3" t="n">
        <v>3</v>
      </c>
      <c r="F5" s="3" t="n">
        <v>35</v>
      </c>
      <c r="G5" s="3" t="n">
        <v>35</v>
      </c>
      <c r="H5" s="3" t="n">
        <v>0</v>
      </c>
      <c r="I5" s="3" t="n">
        <v>0</v>
      </c>
      <c r="J5" s="3" t="inlineStr">
        <is>
          <t>Automatic</t>
        </is>
      </c>
      <c r="K5" s="3" t="n">
        <v>700</v>
      </c>
      <c r="L5" s="3" t="n">
        <v>25</v>
      </c>
      <c r="M5" s="3" t="n">
        <v>20</v>
      </c>
      <c r="N5" s="3">
        <f>910/2</f>
        <v/>
      </c>
      <c r="O5" s="3" t="inlineStr">
        <is>
          <t>5.56mm</t>
        </is>
      </c>
      <c r="P5" s="3" t="inlineStr">
        <is>
          <t>bullet</t>
        </is>
      </c>
      <c r="Q5" s="3" t="n">
        <v>0.6</v>
      </c>
    </row>
    <row r="6">
      <c r="B6" s="2" t="inlineStr">
        <is>
          <t>Ak47</t>
        </is>
      </c>
      <c r="C6" s="3" t="n">
        <v>30</v>
      </c>
      <c r="D6" s="3">
        <f>+C6*10</f>
        <v/>
      </c>
      <c r="E6" s="3" t="n">
        <v>4</v>
      </c>
      <c r="F6" s="3" t="n">
        <v>40</v>
      </c>
      <c r="G6" s="3" t="n">
        <v>50</v>
      </c>
      <c r="H6" s="3" t="n">
        <v>10</v>
      </c>
      <c r="I6" s="3" t="n">
        <v>0</v>
      </c>
      <c r="J6" s="3" t="inlineStr">
        <is>
          <t>Automatic</t>
        </is>
      </c>
      <c r="K6" s="3" t="n">
        <v>600</v>
      </c>
      <c r="L6" s="3" t="n">
        <v>30</v>
      </c>
      <c r="M6" s="3" t="n">
        <v>25</v>
      </c>
      <c r="N6" s="3">
        <f>712/2</f>
        <v/>
      </c>
      <c r="O6" s="3" t="inlineStr">
        <is>
          <t>7.62x39mm</t>
        </is>
      </c>
      <c r="P6" s="3" t="inlineStr">
        <is>
          <t>bullet</t>
        </is>
      </c>
      <c r="Q6" s="3" t="n">
        <v>0.65</v>
      </c>
    </row>
    <row r="7">
      <c r="B7" s="2" t="inlineStr">
        <is>
          <t>RPG-7</t>
        </is>
      </c>
      <c r="C7" s="3" t="n">
        <v>1</v>
      </c>
      <c r="D7" s="3" t="n">
        <v>4</v>
      </c>
      <c r="E7" s="3" t="n">
        <v>5</v>
      </c>
      <c r="F7" s="3" t="n">
        <v>80</v>
      </c>
      <c r="G7" s="3" t="n">
        <v>100</v>
      </c>
      <c r="H7" s="3" t="n">
        <v>100</v>
      </c>
      <c r="I7" s="3" t="n">
        <v>30</v>
      </c>
      <c r="J7" s="3" t="inlineStr">
        <is>
          <t>Semi</t>
        </is>
      </c>
      <c r="K7" s="3" t="inlineStr">
        <is>
          <t>n/a</t>
        </is>
      </c>
      <c r="L7" s="3" t="n">
        <v>30</v>
      </c>
      <c r="M7" s="3" t="n">
        <v>0</v>
      </c>
      <c r="N7" s="3" t="n">
        <v>115</v>
      </c>
      <c r="O7" s="3" t="inlineStr">
        <is>
          <t>40mm</t>
        </is>
      </c>
      <c r="P7" s="3" t="inlineStr">
        <is>
          <t>rocket</t>
        </is>
      </c>
      <c r="Q7" s="3" t="n">
        <v>0.7</v>
      </c>
    </row>
    <row r="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Martial Portiche</dc:creator>
  <dcterms:created xmlns:dcterms="http://purl.org/dc/terms/" xmlns:xsi="http://www.w3.org/2001/XMLSchema-instance" xsi:type="dcterms:W3CDTF">2026-10-22T12:05:36Z</dcterms:created>
  <dcterms:modified xmlns:dcterms="http://purl.org/dc/terms/" xmlns:xsi="http://www.w3.org/2001/XMLSchema-instance" xsi:type="dcterms:W3CDTF">2026-10-22T13:54:08Z</dcterms:modified>
  <cp:lastModifiedBy>Martial Portiche</cp:lastModifiedBy>
</cp:coreProperties>
</file>