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Warehouse-7\data\"/>
    </mc:Choice>
  </mc:AlternateContent>
  <xr:revisionPtr revIDLastSave="0" documentId="13_ncr:1_{42271092-CB2A-4042-8C53-C7291EF6341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nemies" sheetId="1" r:id="rId1"/>
    <sheet name="Weap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  <c r="D10" i="2"/>
  <c r="D9" i="2"/>
  <c r="N9" i="2"/>
  <c r="D6" i="2"/>
  <c r="D5" i="2"/>
  <c r="D8" i="2"/>
  <c r="N8" i="2"/>
  <c r="N6" i="2"/>
  <c r="N5" i="2"/>
  <c r="N4" i="2"/>
  <c r="D4" i="2"/>
</calcChain>
</file>

<file path=xl/sharedStrings.xml><?xml version="1.0" encoding="utf-8"?>
<sst xmlns="http://schemas.openxmlformats.org/spreadsheetml/2006/main" count="74" uniqueCount="60">
  <si>
    <t xml:space="preserve">Enemy </t>
  </si>
  <si>
    <t>Health</t>
  </si>
  <si>
    <t>Movement speed (m/s)</t>
  </si>
  <si>
    <t>sight range (m)</t>
  </si>
  <si>
    <t>hearing range (m)</t>
  </si>
  <si>
    <t>Reaction time (s)</t>
  </si>
  <si>
    <t>Aim error (degrees)</t>
  </si>
  <si>
    <t>Extra aim error per 10m (degrees)</t>
  </si>
  <si>
    <t>Burst min (shots)/ Burst max (shots)</t>
  </si>
  <si>
    <t>pause between bursts min (s) / max (s)</t>
  </si>
  <si>
    <t>Preferred fighting distance (m)</t>
  </si>
  <si>
    <t>Ammo drop min / Ammo drop max</t>
  </si>
  <si>
    <t>Possible Weapons Equipped</t>
  </si>
  <si>
    <t>Insurgent</t>
  </si>
  <si>
    <t>2 / 5</t>
  </si>
  <si>
    <t>10 / 30</t>
  </si>
  <si>
    <t>AK-47, RPG-7</t>
  </si>
  <si>
    <t>Weapon</t>
  </si>
  <si>
    <t>Maximum number of bullets</t>
  </si>
  <si>
    <t>Maximum number of total bullets that can be carried by the player</t>
  </si>
  <si>
    <t>Reload time (seconds)</t>
  </si>
  <si>
    <t>Damage to Health</t>
  </si>
  <si>
    <t>Damage to Armour</t>
  </si>
  <si>
    <t>Damage to Environment</t>
  </si>
  <si>
    <t>Area of effect</t>
  </si>
  <si>
    <t>Fire mode</t>
  </si>
  <si>
    <t>Rate of fire</t>
  </si>
  <si>
    <t>Recoil</t>
  </si>
  <si>
    <t>Weapon bloom</t>
  </si>
  <si>
    <t>Muzzle velocity (m/s)</t>
  </si>
  <si>
    <t>Calibre</t>
  </si>
  <si>
    <t>Projectile (bullet / rocket)</t>
  </si>
  <si>
    <t>Aim-down-sights zoom (1 = none, 0.6 = strong)</t>
  </si>
  <si>
    <t>Sig P320</t>
  </si>
  <si>
    <t>Semi</t>
  </si>
  <si>
    <t>9mm</t>
  </si>
  <si>
    <t>bullet</t>
  </si>
  <si>
    <t>M4A1</t>
  </si>
  <si>
    <t>Automatic</t>
  </si>
  <si>
    <t>5.56mm</t>
  </si>
  <si>
    <t>AK-47</t>
  </si>
  <si>
    <t>7.62x39mm</t>
  </si>
  <si>
    <t>RPG-7</t>
  </si>
  <si>
    <t>n/a</t>
  </si>
  <si>
    <t>40mm</t>
  </si>
  <si>
    <t>rocket</t>
  </si>
  <si>
    <t>MP5</t>
  </si>
  <si>
    <t>Mk14-EBR</t>
  </si>
  <si>
    <t>7.62x51mm</t>
  </si>
  <si>
    <t>0.6 / 2</t>
  </si>
  <si>
    <t>Militia</t>
  </si>
  <si>
    <t>0.9 / 2</t>
  </si>
  <si>
    <t>1 / 3</t>
  </si>
  <si>
    <t>Armour</t>
  </si>
  <si>
    <t>RPK</t>
  </si>
  <si>
    <t>Heavy Insurgent</t>
  </si>
  <si>
    <t>AK-47, RPK</t>
  </si>
  <si>
    <t>3 / 7</t>
  </si>
  <si>
    <t>0.5 / 2</t>
  </si>
  <si>
    <t>20 /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</si>
</sst>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9"/>
  <sheetViews>
    <sheetView showGridLines="0" tabSelected="1" workbookViewId="0">
      <selection activeCell="A2" sqref="A2"/>
    </sheetView>
  </sheetViews>
  <sheetFormatPr defaultRowHeight="14.25" x14ac:dyDescent="0.45"/>
  <cols>
    <col min="1" max="1" width="2.59765625" customWidth="1"/>
    <col min="2" max="2" width="13.19921875" bestFit="1" customWidth="1"/>
    <col min="3" max="15" width="15.59765625" customWidth="1"/>
  </cols>
  <sheetData>
    <row r="3" spans="2:16" ht="71.25" customHeight="1" x14ac:dyDescent="0.45">
      <c r="B3" s="1" t="s">
        <v>0</v>
      </c>
      <c r="C3" s="1" t="s">
        <v>1</v>
      </c>
      <c r="D3" s="1" t="s">
        <v>53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10</v>
      </c>
      <c r="N3" s="1" t="s">
        <v>11</v>
      </c>
      <c r="O3" s="1" t="s">
        <v>12</v>
      </c>
      <c r="P3" s="1"/>
    </row>
    <row r="4" spans="2:16" x14ac:dyDescent="0.45">
      <c r="B4" s="5" t="s">
        <v>13</v>
      </c>
      <c r="C4" s="3">
        <v>100</v>
      </c>
      <c r="D4" s="3">
        <v>0</v>
      </c>
      <c r="E4" s="3">
        <v>3.2</v>
      </c>
      <c r="F4" s="3">
        <v>45</v>
      </c>
      <c r="G4" s="3">
        <v>30</v>
      </c>
      <c r="H4" s="3">
        <v>1.5</v>
      </c>
      <c r="I4" s="3">
        <v>3</v>
      </c>
      <c r="J4" s="3">
        <v>3</v>
      </c>
      <c r="K4" s="4" t="s">
        <v>14</v>
      </c>
      <c r="L4" s="3" t="s">
        <v>49</v>
      </c>
      <c r="M4" s="3">
        <v>18</v>
      </c>
      <c r="N4" s="4" t="s">
        <v>15</v>
      </c>
      <c r="O4" s="3" t="s">
        <v>16</v>
      </c>
      <c r="P4" s="3"/>
    </row>
    <row r="5" spans="2:16" x14ac:dyDescent="0.45">
      <c r="B5" s="5" t="s">
        <v>50</v>
      </c>
      <c r="C5" s="3">
        <v>100</v>
      </c>
      <c r="D5" s="3">
        <v>0</v>
      </c>
      <c r="E5" s="3">
        <v>4</v>
      </c>
      <c r="F5" s="3">
        <v>30</v>
      </c>
      <c r="G5" s="3">
        <v>20</v>
      </c>
      <c r="H5" s="3">
        <v>1.5</v>
      </c>
      <c r="I5" s="3">
        <v>4</v>
      </c>
      <c r="J5" s="3">
        <v>3</v>
      </c>
      <c r="K5" s="4" t="s">
        <v>52</v>
      </c>
      <c r="L5" s="3" t="s">
        <v>51</v>
      </c>
      <c r="M5" s="3">
        <v>10</v>
      </c>
      <c r="N5" s="4" t="s">
        <v>15</v>
      </c>
      <c r="O5" s="3" t="s">
        <v>40</v>
      </c>
      <c r="P5" s="3"/>
    </row>
    <row r="6" spans="2:16" x14ac:dyDescent="0.45">
      <c r="B6" s="5" t="s">
        <v>55</v>
      </c>
      <c r="C6" s="3">
        <v>100</v>
      </c>
      <c r="D6" s="3">
        <v>50</v>
      </c>
      <c r="E6" s="3">
        <v>2.5</v>
      </c>
      <c r="F6" s="3">
        <v>50</v>
      </c>
      <c r="G6" s="3">
        <v>35</v>
      </c>
      <c r="H6" s="3">
        <v>1</v>
      </c>
      <c r="I6" s="3">
        <v>2</v>
      </c>
      <c r="J6" s="3">
        <v>3</v>
      </c>
      <c r="K6" s="4" t="s">
        <v>57</v>
      </c>
      <c r="L6" s="3" t="s">
        <v>58</v>
      </c>
      <c r="M6" s="3">
        <v>20</v>
      </c>
      <c r="N6" s="4" t="s">
        <v>59</v>
      </c>
      <c r="O6" s="3" t="s">
        <v>56</v>
      </c>
      <c r="P6" s="3"/>
    </row>
    <row r="7" spans="2:16" x14ac:dyDescent="0.45">
      <c r="B7" s="5"/>
      <c r="C7" s="3"/>
      <c r="D7" s="3"/>
      <c r="E7" s="3"/>
      <c r="F7" s="3"/>
      <c r="G7" s="3"/>
      <c r="H7" s="3"/>
      <c r="I7" s="3"/>
      <c r="J7" s="3"/>
      <c r="K7" s="4"/>
      <c r="L7" s="3"/>
      <c r="M7" s="3"/>
      <c r="N7" s="4"/>
      <c r="O7" s="3"/>
      <c r="P7" s="3"/>
    </row>
    <row r="8" spans="2:16" x14ac:dyDescent="0.45">
      <c r="B8" s="5"/>
      <c r="C8" s="3"/>
      <c r="D8" s="3"/>
      <c r="E8" s="3"/>
      <c r="F8" s="3"/>
      <c r="G8" s="3"/>
      <c r="H8" s="3"/>
      <c r="I8" s="3"/>
      <c r="J8" s="3"/>
      <c r="K8" s="4"/>
      <c r="L8" s="3"/>
      <c r="M8" s="3"/>
      <c r="N8" s="4"/>
      <c r="O8" s="3"/>
      <c r="P8" s="3"/>
    </row>
    <row r="9" spans="2:16" x14ac:dyDescent="0.45">
      <c r="B9" s="5"/>
      <c r="C9" s="3"/>
      <c r="D9" s="3"/>
      <c r="E9" s="3"/>
      <c r="F9" s="3"/>
      <c r="G9" s="3"/>
      <c r="H9" s="3"/>
      <c r="I9" s="3"/>
      <c r="J9" s="3"/>
      <c r="K9" s="4"/>
      <c r="L9" s="3"/>
      <c r="M9" s="3"/>
      <c r="N9" s="4"/>
      <c r="O9" s="3"/>
      <c r="P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Q1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4.25" x14ac:dyDescent="0.45"/>
  <cols>
    <col min="1" max="1" width="2.59765625" customWidth="1"/>
    <col min="2" max="14" width="15.59765625" customWidth="1"/>
    <col min="15" max="17" width="13" customWidth="1"/>
  </cols>
  <sheetData>
    <row r="3" spans="2:17" ht="57" customHeight="1" x14ac:dyDescent="0.45">
      <c r="B3" s="1" t="s">
        <v>17</v>
      </c>
      <c r="C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  <c r="O3" s="1" t="s">
        <v>30</v>
      </c>
      <c r="P3" s="1" t="s">
        <v>31</v>
      </c>
      <c r="Q3" s="1" t="s">
        <v>32</v>
      </c>
    </row>
    <row r="4" spans="2:17" x14ac:dyDescent="0.45">
      <c r="B4" s="2" t="s">
        <v>33</v>
      </c>
      <c r="C4" s="3">
        <v>17</v>
      </c>
      <c r="D4" s="3">
        <f>+C4*6</f>
        <v>102</v>
      </c>
      <c r="E4" s="3">
        <v>2</v>
      </c>
      <c r="F4" s="3">
        <v>20</v>
      </c>
      <c r="G4" s="3">
        <v>20</v>
      </c>
      <c r="H4" s="3">
        <v>0</v>
      </c>
      <c r="I4" s="3">
        <v>0</v>
      </c>
      <c r="J4" s="3" t="s">
        <v>34</v>
      </c>
      <c r="K4" s="3">
        <v>180</v>
      </c>
      <c r="L4" s="3">
        <v>5</v>
      </c>
      <c r="M4" s="3">
        <v>15</v>
      </c>
      <c r="N4" s="3">
        <f>374/2</f>
        <v>187</v>
      </c>
      <c r="O4" s="3" t="s">
        <v>35</v>
      </c>
      <c r="P4" s="3" t="s">
        <v>36</v>
      </c>
      <c r="Q4" s="3">
        <v>0.85</v>
      </c>
    </row>
    <row r="5" spans="2:17" x14ac:dyDescent="0.45">
      <c r="B5" s="2" t="s">
        <v>37</v>
      </c>
      <c r="C5" s="3">
        <v>30</v>
      </c>
      <c r="D5" s="3">
        <f>+C5*8</f>
        <v>240</v>
      </c>
      <c r="E5" s="3">
        <v>3</v>
      </c>
      <c r="F5" s="3">
        <v>35</v>
      </c>
      <c r="G5" s="3">
        <v>35</v>
      </c>
      <c r="H5" s="3">
        <v>0</v>
      </c>
      <c r="I5" s="3">
        <v>0</v>
      </c>
      <c r="J5" s="3" t="s">
        <v>38</v>
      </c>
      <c r="K5" s="3">
        <v>700</v>
      </c>
      <c r="L5" s="3">
        <v>25</v>
      </c>
      <c r="M5" s="3">
        <v>20</v>
      </c>
      <c r="N5" s="3">
        <f>910/2</f>
        <v>455</v>
      </c>
      <c r="O5" s="3" t="s">
        <v>39</v>
      </c>
      <c r="P5" s="3" t="s">
        <v>36</v>
      </c>
      <c r="Q5" s="3">
        <v>0.6</v>
      </c>
    </row>
    <row r="6" spans="2:17" x14ac:dyDescent="0.45">
      <c r="B6" s="2" t="s">
        <v>40</v>
      </c>
      <c r="C6" s="3">
        <v>30</v>
      </c>
      <c r="D6" s="3">
        <f>+C6*6</f>
        <v>180</v>
      </c>
      <c r="E6" s="3">
        <v>4</v>
      </c>
      <c r="F6" s="3">
        <v>40</v>
      </c>
      <c r="G6" s="3">
        <v>50</v>
      </c>
      <c r="H6" s="3">
        <v>10</v>
      </c>
      <c r="I6" s="3">
        <v>0</v>
      </c>
      <c r="J6" s="3" t="s">
        <v>38</v>
      </c>
      <c r="K6" s="3">
        <v>600</v>
      </c>
      <c r="L6" s="3">
        <v>30</v>
      </c>
      <c r="M6" s="3">
        <v>25</v>
      </c>
      <c r="N6" s="3">
        <f>712/2</f>
        <v>356</v>
      </c>
      <c r="O6" s="3" t="s">
        <v>41</v>
      </c>
      <c r="P6" s="3" t="s">
        <v>36</v>
      </c>
      <c r="Q6" s="3">
        <v>0.65</v>
      </c>
    </row>
    <row r="7" spans="2:17" x14ac:dyDescent="0.45">
      <c r="B7" s="2" t="s">
        <v>42</v>
      </c>
      <c r="C7" s="3">
        <v>1</v>
      </c>
      <c r="D7" s="3">
        <v>4</v>
      </c>
      <c r="E7" s="3">
        <v>5</v>
      </c>
      <c r="F7" s="3">
        <v>80</v>
      </c>
      <c r="G7" s="3">
        <v>100</v>
      </c>
      <c r="H7" s="3">
        <v>100</v>
      </c>
      <c r="I7" s="3">
        <v>50</v>
      </c>
      <c r="J7" s="3" t="s">
        <v>34</v>
      </c>
      <c r="K7" s="3" t="s">
        <v>43</v>
      </c>
      <c r="L7" s="3">
        <v>30</v>
      </c>
      <c r="M7" s="3">
        <v>0</v>
      </c>
      <c r="N7" s="3">
        <v>115</v>
      </c>
      <c r="O7" s="3" t="s">
        <v>44</v>
      </c>
      <c r="P7" s="3" t="s">
        <v>45</v>
      </c>
      <c r="Q7" s="3">
        <v>0.7</v>
      </c>
    </row>
    <row r="8" spans="2:17" x14ac:dyDescent="0.45">
      <c r="B8" s="2" t="s">
        <v>46</v>
      </c>
      <c r="C8" s="3">
        <v>30</v>
      </c>
      <c r="D8" s="3">
        <f>+C8*10</f>
        <v>300</v>
      </c>
      <c r="E8" s="3">
        <v>3</v>
      </c>
      <c r="F8" s="3">
        <v>20</v>
      </c>
      <c r="G8" s="3">
        <v>20</v>
      </c>
      <c r="H8" s="3">
        <v>0</v>
      </c>
      <c r="I8" s="3">
        <v>0</v>
      </c>
      <c r="J8" s="3" t="s">
        <v>38</v>
      </c>
      <c r="K8" s="3">
        <v>800</v>
      </c>
      <c r="L8" s="3">
        <v>15</v>
      </c>
      <c r="M8" s="3">
        <v>20</v>
      </c>
      <c r="N8" s="3">
        <f>400/2</f>
        <v>200</v>
      </c>
      <c r="O8" s="3" t="s">
        <v>35</v>
      </c>
      <c r="P8" s="3" t="s">
        <v>36</v>
      </c>
      <c r="Q8" s="3">
        <v>0.7</v>
      </c>
    </row>
    <row r="9" spans="2:17" x14ac:dyDescent="0.45">
      <c r="B9" s="2" t="s">
        <v>47</v>
      </c>
      <c r="C9" s="3">
        <v>10</v>
      </c>
      <c r="D9" s="3">
        <f>+C9*6</f>
        <v>60</v>
      </c>
      <c r="E9" s="3">
        <v>4</v>
      </c>
      <c r="F9" s="3">
        <v>50</v>
      </c>
      <c r="G9" s="3">
        <v>50</v>
      </c>
      <c r="H9" s="3">
        <v>15</v>
      </c>
      <c r="I9" s="3">
        <v>0</v>
      </c>
      <c r="J9" s="3" t="s">
        <v>34</v>
      </c>
      <c r="K9" s="3">
        <v>700</v>
      </c>
      <c r="L9" s="3">
        <v>35</v>
      </c>
      <c r="M9" s="3">
        <v>10</v>
      </c>
      <c r="N9" s="3">
        <f>853/2</f>
        <v>426.5</v>
      </c>
      <c r="O9" s="3" t="s">
        <v>48</v>
      </c>
      <c r="P9" s="3" t="s">
        <v>36</v>
      </c>
      <c r="Q9" s="3">
        <v>0.6</v>
      </c>
    </row>
    <row r="10" spans="2:17" x14ac:dyDescent="0.45">
      <c r="B10" s="2" t="s">
        <v>54</v>
      </c>
      <c r="C10" s="3">
        <v>75</v>
      </c>
      <c r="D10" s="3">
        <f>+C10*4</f>
        <v>300</v>
      </c>
      <c r="E10" s="3">
        <v>6</v>
      </c>
      <c r="F10" s="3">
        <v>40</v>
      </c>
      <c r="G10" s="3">
        <v>50</v>
      </c>
      <c r="H10" s="3">
        <v>10</v>
      </c>
      <c r="I10" s="3">
        <v>0</v>
      </c>
      <c r="J10" s="3" t="s">
        <v>38</v>
      </c>
      <c r="K10" s="3">
        <v>600</v>
      </c>
      <c r="L10" s="3">
        <v>40</v>
      </c>
      <c r="M10" s="3">
        <v>35</v>
      </c>
      <c r="N10" s="3">
        <f>745/2</f>
        <v>372.5</v>
      </c>
      <c r="O10" s="3" t="s">
        <v>41</v>
      </c>
      <c r="P10" s="3" t="s">
        <v>36</v>
      </c>
      <c r="Q10" s="3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Enemies</vt:lpstr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Martial Portiche</dc:creator>
  <cp:lastModifiedBy>Martial Portiche</cp:lastModifiedBy>
  <dcterms:created xsi:type="dcterms:W3CDTF">2026-10-22T12:05:36Z</dcterms:created>
  <dcterms:modified xsi:type="dcterms:W3CDTF">2026-10-23T06:47:05Z</dcterms:modified>
</cp:coreProperties>
</file>