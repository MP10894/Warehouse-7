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2E407A60-C6F6-42D3-8F77-F6076AD23868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  <c r="D10" i="2"/>
  <c r="D9" i="2"/>
  <c r="N9" i="2"/>
  <c r="D6" i="2"/>
  <c r="D5" i="2"/>
  <c r="D8" i="2"/>
  <c r="N8" i="2"/>
  <c r="N6" i="2"/>
  <c r="N5" i="2"/>
  <c r="N4" i="2"/>
  <c r="D4" i="2"/>
</calcChain>
</file>

<file path=xl/sharedStrings.xml><?xml version="1.0" encoding="utf-8"?>
<sst xmlns="http://schemas.openxmlformats.org/spreadsheetml/2006/main" count="90" uniqueCount="65">
  <si>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</si>
  <si>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</si>
  <si>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</si>
  <si>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</si>
  <si>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</si>
  <si>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</si>
  <si>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</si>
  <si>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</si>
  <si>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</si>
  <si>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</si>
  <si>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</si>
  <si>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</si>
  <si>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</si>
  <si>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</si>
  <si>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</si>
  <si>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</si>
  <si>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AK-47, RPG-7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</si>
  <si>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</si>
  <si>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</si>
  <si>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</si>
  <si>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</si>
  <si>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</si>
  <si>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</si>
  <si>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</si>
  <si>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</si>
  <si>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</si>
  <si>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</si>
  <si>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</si>
  <si>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</si>
  <si>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</si>
  <si>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</si>
  <si>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</si>
  <si>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</si>
  <si>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</si>
  <si>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</si>
  <si>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</si>
  <si>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</si>
  <si>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</si>
  <si>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</si>
  <si>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</si>
  <si>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</si>
  <si>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</si>
  <si>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</si>
  <si>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</si>
  <si>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</si>
  <si>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</si>
  <si>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</si>
  <si>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</si>
  <si>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</si>
  <si>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</si>
  <si>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</si>
  <si>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</si>
  <si>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</si>
  <si>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</si>
  <si>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</si>
  <si>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</si>
  <si>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AK-47, RPK</t>
  </si>
  <si>
    <t>3 / 7</t>
  </si>
  <si>
    <t>0.5 / 2</t>
  </si>
  <si>
    <t>20 / 60</t>
  </si>
  <si>
    <t>Item drop</t>
  </si>
  <si>
    <t>Armour plate (15)</t>
  </si>
  <si>
    <t>Suicide Bomber</t>
  </si>
  <si>
    <t>RGD-5</t>
  </si>
  <si>
    <t>grenade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</si>
</sst>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workbookViewId="0">
      <selection activeCell="B7" sqref="B7"/>
    </sheetView>
  </sheetViews>
  <sheetFormatPr defaultRowHeight="14.25" x14ac:dyDescent="0.45"/>
  <cols>
    <col min="1" max="1" width="2.59765625" customWidth="1"/>
    <col min="2" max="2" width="13.19921875" bestFit="1" customWidth="1"/>
    <col min="3" max="16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53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 t="s">
        <v>60</v>
      </c>
    </row>
    <row r="4" spans="2:16" x14ac:dyDescent="0.45">
      <c r="B4" s="5" t="s">
        <v>13</v>
      </c>
      <c r="C4" s="3">
        <v>100</v>
      </c>
      <c r="D4" s="3">
        <v>0</v>
      </c>
      <c r="E4" s="3">
        <v>3.2</v>
      </c>
      <c r="F4" s="3">
        <v>45</v>
      </c>
      <c r="G4" s="3">
        <v>30</v>
      </c>
      <c r="H4" s="3">
        <v>1.5</v>
      </c>
      <c r="I4" s="3">
        <v>3</v>
      </c>
      <c r="J4" s="3">
        <v>3</v>
      </c>
      <c r="K4" s="4" t="s">
        <v>14</v>
      </c>
      <c r="L4" s="3" t="s">
        <v>49</v>
      </c>
      <c r="M4" s="3">
        <v>18</v>
      </c>
      <c r="N4" s="4" t="s">
        <v>15</v>
      </c>
      <c r="O4" s="3" t="s">
        <v>16</v>
      </c>
      <c r="P4" s="3"/>
    </row>
    <row r="5" spans="2:16" x14ac:dyDescent="0.45">
      <c r="B5" s="5" t="s">
        <v>50</v>
      </c>
      <c r="C5" s="3">
        <v>100</v>
      </c>
      <c r="D5" s="3">
        <v>0</v>
      </c>
      <c r="E5" s="3">
        <v>4</v>
      </c>
      <c r="F5" s="3">
        <v>30</v>
      </c>
      <c r="G5" s="3">
        <v>20</v>
      </c>
      <c r="H5" s="3">
        <v>1.5</v>
      </c>
      <c r="I5" s="3">
        <v>4</v>
      </c>
      <c r="J5" s="3">
        <v>3</v>
      </c>
      <c r="K5" s="4" t="s">
        <v>52</v>
      </c>
      <c r="L5" s="3" t="s">
        <v>51</v>
      </c>
      <c r="M5" s="3">
        <v>10</v>
      </c>
      <c r="N5" s="4" t="s">
        <v>15</v>
      </c>
      <c r="O5" s="3" t="s">
        <v>40</v>
      </c>
      <c r="P5" s="3"/>
    </row>
    <row r="6" spans="2:16" x14ac:dyDescent="0.45">
      <c r="B6" s="5" t="s">
        <v>55</v>
      </c>
      <c r="C6" s="3">
        <v>100</v>
      </c>
      <c r="D6" s="3">
        <v>50</v>
      </c>
      <c r="E6" s="3">
        <v>2.5</v>
      </c>
      <c r="F6" s="3">
        <v>50</v>
      </c>
      <c r="G6" s="3">
        <v>35</v>
      </c>
      <c r="H6" s="3">
        <v>1</v>
      </c>
      <c r="I6" s="3">
        <v>2</v>
      </c>
      <c r="J6" s="3">
        <v>3</v>
      </c>
      <c r="K6" s="4" t="s">
        <v>57</v>
      </c>
      <c r="L6" s="3" t="s">
        <v>58</v>
      </c>
      <c r="M6" s="3">
        <v>20</v>
      </c>
      <c r="N6" s="4" t="s">
        <v>59</v>
      </c>
      <c r="O6" s="3" t="s">
        <v>56</v>
      </c>
      <c r="P6" s="3" t="s">
        <v>61</v>
      </c>
    </row>
    <row r="7" spans="2:16" x14ac:dyDescent="0.45">
      <c r="B7" s="5" t="s">
        <v>62</v>
      </c>
      <c r="C7" s="3">
        <v>100</v>
      </c>
      <c r="D7" s="3">
        <v>0</v>
      </c>
      <c r="E7" s="3">
        <v>4</v>
      </c>
      <c r="F7" s="3">
        <v>30</v>
      </c>
      <c r="G7" s="3">
        <v>20</v>
      </c>
      <c r="H7" s="3">
        <v>0.5</v>
      </c>
      <c r="I7" s="3" t="s">
        <v>43</v>
      </c>
      <c r="J7" s="3" t="s">
        <v>43</v>
      </c>
      <c r="K7" s="4" t="s">
        <v>43</v>
      </c>
      <c r="L7" s="3" t="s">
        <v>43</v>
      </c>
      <c r="M7" s="3">
        <v>1</v>
      </c>
      <c r="N7" s="4" t="s">
        <v>43</v>
      </c>
      <c r="O7" s="3" t="s">
        <v>63</v>
      </c>
      <c r="P7" s="3" t="s">
        <v>43</v>
      </c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Q11"/>
  <sheetViews>
    <sheetView showGridLines="0"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1" sqref="A11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</cols>
  <sheetData>
    <row r="3" spans="2:17" ht="57" customHeight="1" x14ac:dyDescent="0.45">
      <c r="B3" s="1" t="s">
        <v>17</v>
      </c>
      <c r="C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  <c r="P3" s="1" t="s">
        <v>31</v>
      </c>
      <c r="Q3" s="1" t="s">
        <v>32</v>
      </c>
    </row>
    <row r="4" spans="2:17" x14ac:dyDescent="0.45">
      <c r="B4" s="2" t="s">
        <v>33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34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35</v>
      </c>
      <c r="P4" s="3" t="s">
        <v>36</v>
      </c>
      <c r="Q4" s="3">
        <v>0.85</v>
      </c>
    </row>
    <row r="5" spans="2:17" x14ac:dyDescent="0.45">
      <c r="B5" s="2" t="s">
        <v>37</v>
      </c>
      <c r="C5" s="3">
        <v>30</v>
      </c>
      <c r="D5" s="3">
        <f>+C5*8</f>
        <v>240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38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39</v>
      </c>
      <c r="P5" s="3" t="s">
        <v>36</v>
      </c>
      <c r="Q5" s="3">
        <v>0.6</v>
      </c>
    </row>
    <row r="6" spans="2:17" x14ac:dyDescent="0.45">
      <c r="B6" s="2" t="s">
        <v>40</v>
      </c>
      <c r="C6" s="3">
        <v>30</v>
      </c>
      <c r="D6" s="3">
        <f>+C6*6</f>
        <v>180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38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41</v>
      </c>
      <c r="P6" s="3" t="s">
        <v>36</v>
      </c>
      <c r="Q6" s="3">
        <v>0.65</v>
      </c>
    </row>
    <row r="7" spans="2:17" x14ac:dyDescent="0.45">
      <c r="B7" s="2" t="s">
        <v>42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50</v>
      </c>
      <c r="J7" s="3" t="s">
        <v>34</v>
      </c>
      <c r="K7" s="3" t="s">
        <v>43</v>
      </c>
      <c r="L7" s="3">
        <v>30</v>
      </c>
      <c r="M7" s="3">
        <v>0</v>
      </c>
      <c r="N7" s="3">
        <v>115</v>
      </c>
      <c r="O7" s="3" t="s">
        <v>44</v>
      </c>
      <c r="P7" s="3" t="s">
        <v>45</v>
      </c>
      <c r="Q7" s="3">
        <v>0.7</v>
      </c>
    </row>
    <row r="8" spans="2:17" x14ac:dyDescent="0.45">
      <c r="B8" s="2" t="s">
        <v>46</v>
      </c>
      <c r="C8" s="3">
        <v>30</v>
      </c>
      <c r="D8" s="3">
        <f>+C8*10</f>
        <v>300</v>
      </c>
      <c r="E8" s="3">
        <v>3</v>
      </c>
      <c r="F8" s="3">
        <v>20</v>
      </c>
      <c r="G8" s="3">
        <v>20</v>
      </c>
      <c r="H8" s="3">
        <v>0</v>
      </c>
      <c r="I8" s="3">
        <v>0</v>
      </c>
      <c r="J8" s="3" t="s">
        <v>38</v>
      </c>
      <c r="K8" s="3">
        <v>800</v>
      </c>
      <c r="L8" s="3">
        <v>15</v>
      </c>
      <c r="M8" s="3">
        <v>20</v>
      </c>
      <c r="N8" s="3">
        <f>400/2</f>
        <v>200</v>
      </c>
      <c r="O8" s="3" t="s">
        <v>35</v>
      </c>
      <c r="P8" s="3" t="s">
        <v>36</v>
      </c>
      <c r="Q8" s="3">
        <v>0.7</v>
      </c>
    </row>
    <row r="9" spans="2:17" x14ac:dyDescent="0.45">
      <c r="B9" s="2" t="s">
        <v>47</v>
      </c>
      <c r="C9" s="3">
        <v>10</v>
      </c>
      <c r="D9" s="3">
        <f>+C9*6</f>
        <v>60</v>
      </c>
      <c r="E9" s="3">
        <v>4</v>
      </c>
      <c r="F9" s="3">
        <v>50</v>
      </c>
      <c r="G9" s="3">
        <v>50</v>
      </c>
      <c r="H9" s="3">
        <v>15</v>
      </c>
      <c r="I9" s="3">
        <v>0</v>
      </c>
      <c r="J9" s="3" t="s">
        <v>34</v>
      </c>
      <c r="K9" s="3">
        <v>700</v>
      </c>
      <c r="L9" s="3">
        <v>35</v>
      </c>
      <c r="M9" s="3">
        <v>10</v>
      </c>
      <c r="N9" s="3">
        <f>853/2</f>
        <v>426.5</v>
      </c>
      <c r="O9" s="3" t="s">
        <v>48</v>
      </c>
      <c r="P9" s="3" t="s">
        <v>36</v>
      </c>
      <c r="Q9" s="3">
        <v>0.6</v>
      </c>
    </row>
    <row r="10" spans="2:17" x14ac:dyDescent="0.45">
      <c r="B10" s="2" t="s">
        <v>54</v>
      </c>
      <c r="C10" s="3">
        <v>75</v>
      </c>
      <c r="D10" s="3">
        <f>+C10*4</f>
        <v>300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38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41</v>
      </c>
      <c r="P10" s="3" t="s">
        <v>36</v>
      </c>
      <c r="Q10" s="3">
        <v>0.9</v>
      </c>
    </row>
    <row r="11" spans="2:17" x14ac:dyDescent="0.45">
      <c r="B11" s="2" t="s">
        <v>63</v>
      </c>
      <c r="C11" s="3">
        <v>1</v>
      </c>
      <c r="D11" s="3">
        <v>5</v>
      </c>
      <c r="E11" s="3">
        <v>0.1</v>
      </c>
      <c r="F11" s="3">
        <v>80</v>
      </c>
      <c r="G11" s="3">
        <v>75</v>
      </c>
      <c r="H11" s="3">
        <v>50</v>
      </c>
      <c r="I11" s="3">
        <v>30</v>
      </c>
      <c r="J11" s="3" t="s">
        <v>34</v>
      </c>
      <c r="K11" s="3" t="s">
        <v>43</v>
      </c>
      <c r="L11" s="3">
        <v>0</v>
      </c>
      <c r="M11" s="3">
        <v>0</v>
      </c>
      <c r="N11" s="3">
        <v>15</v>
      </c>
      <c r="O11" s="3" t="s">
        <v>43</v>
      </c>
      <c r="P11" s="3" t="s">
        <v>64</v>
      </c>
      <c r="Q11" s="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2026-10-23T13:04:15Z</dcterms:modified>
</cp:coreProperties>
</file>